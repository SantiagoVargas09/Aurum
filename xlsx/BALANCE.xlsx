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<sst xmlns="http://schemas.openxmlformats.org/spreadsheetml/2006/main" count="222" uniqueCount="106">
  <si>
    <t>BC:</t>
  </si>
  <si>
    <t>kg/h</t>
  </si>
  <si>
    <t>BALANCE GLOBAL:</t>
  </si>
  <si>
    <t>Mezclado</t>
  </si>
  <si>
    <t>FLUJOS</t>
  </si>
  <si>
    <t>Flujo Másico (kg/h)</t>
  </si>
  <si>
    <t>Modelo de Choi y Okos</t>
  </si>
  <si>
    <t>ENTRADAS</t>
  </si>
  <si>
    <t>Pulpa (P)</t>
  </si>
  <si>
    <t>Cpc (J/kg.°C) =</t>
  </si>
  <si>
    <t>+</t>
  </si>
  <si>
    <t>-</t>
  </si>
  <si>
    <t>Miel (M)</t>
  </si>
  <si>
    <t>Cpm (J/kg.°C) =</t>
  </si>
  <si>
    <t>Azúcar (Az)</t>
  </si>
  <si>
    <t>Cpa (J/kg. °C) =</t>
  </si>
  <si>
    <t>Agua (A)</t>
  </si>
  <si>
    <t>TOTAL ENTRADAS:</t>
  </si>
  <si>
    <t>---</t>
  </si>
  <si>
    <t>Filtrado</t>
  </si>
  <si>
    <t>SALIDAS</t>
  </si>
  <si>
    <t>Gas de Purga (CO₂ )</t>
  </si>
  <si>
    <t>Sólidos (S)</t>
  </si>
  <si>
    <t>Vino (V)</t>
  </si>
  <si>
    <t>TOTAL SALIDAS:</t>
  </si>
  <si>
    <t xml:space="preserve">        FERMENTACIÓN: C₆H₁₂O₆ → 2C₂H₅OH + 2CO₂</t>
  </si>
  <si>
    <t>Kmol C₆H₁₂O₆ (R.L)</t>
  </si>
  <si>
    <t>-----&gt;</t>
  </si>
  <si>
    <t>Kmol C₂H₅OH</t>
  </si>
  <si>
    <t>Kmol CO₂</t>
  </si>
  <si>
    <t>PERDIDAS Y RENDIMIENTOS:</t>
  </si>
  <si>
    <t>Fermentación</t>
  </si>
  <si>
    <t>MEZCLADO: P + A + M + Az = Ms</t>
  </si>
  <si>
    <t>FILTRADO: Ms_f = S + V</t>
  </si>
  <si>
    <t>Equipo</t>
  </si>
  <si>
    <t>Perdidas (kg)</t>
  </si>
  <si>
    <t>% Perdida</t>
  </si>
  <si>
    <t>% Rendimiento</t>
  </si>
  <si>
    <t>Capacidades calorificas</t>
  </si>
  <si>
    <t>P</t>
  </si>
  <si>
    <t>M</t>
  </si>
  <si>
    <t>Az</t>
  </si>
  <si>
    <t>A</t>
  </si>
  <si>
    <t>Ms</t>
  </si>
  <si>
    <t xml:space="preserve">Componentes: </t>
  </si>
  <si>
    <t>Entrada (kg/h)</t>
  </si>
  <si>
    <t>Peso molecular (kg/kmol)</t>
  </si>
  <si>
    <t>n_e (kmol)</t>
  </si>
  <si>
    <t>n_r (kmol)</t>
  </si>
  <si>
    <t>n_s (kmol)</t>
  </si>
  <si>
    <t>Xn</t>
  </si>
  <si>
    <t>Salida (kg/h)</t>
  </si>
  <si>
    <t>Ms_f</t>
  </si>
  <si>
    <t>S</t>
  </si>
  <si>
    <t>V</t>
  </si>
  <si>
    <t>a</t>
  </si>
  <si>
    <t>b</t>
  </si>
  <si>
    <t>c</t>
  </si>
  <si>
    <t>d</t>
  </si>
  <si>
    <t>Flujo másico (kg/h):</t>
  </si>
  <si>
    <t>C₆H₁₂O₆ (R.L) (l)</t>
  </si>
  <si>
    <t>Fracción másica/kg:</t>
  </si>
  <si>
    <t>Xm</t>
  </si>
  <si>
    <t>kg</t>
  </si>
  <si>
    <t>H₂O (l)</t>
  </si>
  <si>
    <t>S (Sólidos solubles):</t>
  </si>
  <si>
    <t>C₂H₅OH (l)</t>
  </si>
  <si>
    <t>Etanol</t>
  </si>
  <si>
    <t>Perdida/Rendimiento total (kg)</t>
  </si>
  <si>
    <t>h (Humedad):</t>
  </si>
  <si>
    <t>CO₂ (g)</t>
  </si>
  <si>
    <t>Agua</t>
  </si>
  <si>
    <t>Densidad (kg/L)</t>
  </si>
  <si>
    <t>Añadir valor</t>
  </si>
  <si>
    <t>Cp (CO₂ (g)) (kJ/mol. °C)</t>
  </si>
  <si>
    <t>SI (Sólidos insolubles):</t>
  </si>
  <si>
    <t>SI (s)</t>
  </si>
  <si>
    <t>Sólidos</t>
  </si>
  <si>
    <t>Flujo másico (kg/h)</t>
  </si>
  <si>
    <t>TOTAL:</t>
  </si>
  <si>
    <t>Flujo volumétrico (L/h):</t>
  </si>
  <si>
    <t>Interpolación</t>
  </si>
  <si>
    <t>°C</t>
  </si>
  <si>
    <t>Cp (kJ/mol. °C)</t>
  </si>
  <si>
    <t>Cp (kJ/kg. °C)</t>
  </si>
  <si>
    <t>T₁ (°C) =</t>
  </si>
  <si>
    <t>Cp (C₂H₅OH (l)) (25 °C)</t>
  </si>
  <si>
    <t>T₂ (°C) =</t>
  </si>
  <si>
    <t>T₁ (°C)</t>
  </si>
  <si>
    <t>T₂ (°C)</t>
  </si>
  <si>
    <t>Tref (°C)</t>
  </si>
  <si>
    <t>ΔHr° (kJ/kg)</t>
  </si>
  <si>
    <r>
      <rPr>
        <rFont val="Arial"/>
        <color theme="1"/>
        <sz val="11.0"/>
      </rPr>
      <t xml:space="preserve">Qᵣ </t>
    </r>
    <r>
      <rPr>
        <rFont val="Arial"/>
        <color theme="1"/>
        <sz val="10.0"/>
      </rPr>
      <t>(kJ/h)</t>
    </r>
  </si>
  <si>
    <t>Q (kJ/h) (chaqueta) =</t>
  </si>
  <si>
    <t>Componentes:</t>
  </si>
  <si>
    <t>Masa (kg/h)</t>
  </si>
  <si>
    <t>ΔHe (kJ/h)</t>
  </si>
  <si>
    <t>ΔHs (kJ/h)</t>
  </si>
  <si>
    <t>SI (Sólidos insolubles)</t>
  </si>
  <si>
    <t>ΣΔHs (kJ/h)</t>
  </si>
  <si>
    <t>ΣΔHe (kJ/h)</t>
  </si>
  <si>
    <t>=</t>
  </si>
  <si>
    <t>ΔHsis (kJ/h)</t>
  </si>
  <si>
    <t>S (Sólidos solubles)</t>
  </si>
  <si>
    <t>h (Humedad)</t>
  </si>
  <si>
    <t>Balance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</si>
</sst>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"/>
    <numFmt numFmtId="166" formatCode="0.0000000000000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sz val="11.0"/>
      <color rgb="FF000000"/>
      <name val="&quot;Google Sans Text&quot;"/>
    </font>
    <font>
      <sz val="12.0"/>
      <color theme="1"/>
      <name val="Arial"/>
      <scheme val="minor"/>
    </font>
    <font>
      <sz val="15.0"/>
      <color theme="1"/>
      <name val="Arial"/>
      <scheme val="minor"/>
    </font>
    <font/>
    <font>
      <sz val="11.0"/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4" fillId="0" fontId="1" numFmtId="0" xfId="0" applyBorder="1" applyFont="1"/>
    <xf borderId="5" fillId="0" fontId="1" numFmtId="0" xfId="0" applyBorder="1" applyFont="1"/>
    <xf borderId="4" fillId="3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4" fontId="4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5" fillId="0" fontId="5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4" fillId="0" fontId="6" numFmtId="0" xfId="0" applyAlignment="1" applyBorder="1" applyFont="1">
      <alignment readingOrder="0"/>
    </xf>
    <xf borderId="4" fillId="4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5" fillId="0" fontId="5" numFmtId="1" xfId="0" applyAlignment="1" applyBorder="1" applyFont="1" applyNumberFormat="1">
      <alignment horizontal="center" readingOrder="0"/>
    </xf>
    <xf borderId="4" fillId="3" fontId="4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/>
    </xf>
    <xf borderId="5" fillId="3" fontId="4" numFmtId="0" xfId="0" applyAlignment="1" applyBorder="1" applyFont="1">
      <alignment horizontal="center" readingOrder="0"/>
    </xf>
    <xf borderId="4" fillId="5" fontId="4" numFmtId="0" xfId="0" applyAlignment="1" applyBorder="1" applyFill="1" applyFont="1">
      <alignment horizontal="center" readingOrder="0"/>
    </xf>
    <xf borderId="5" fillId="0" fontId="5" numFmtId="1" xfId="0" applyAlignment="1" applyBorder="1" applyFont="1" applyNumberFormat="1">
      <alignment horizontal="center"/>
    </xf>
    <xf borderId="4" fillId="5" fontId="3" numFmtId="0" xfId="0" applyAlignment="1" applyBorder="1" applyFont="1">
      <alignment horizontal="center"/>
    </xf>
    <xf borderId="6" fillId="5" fontId="4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5" numFmtId="1" xfId="0" applyAlignment="1" applyBorder="1" applyFont="1" applyNumberFormat="1">
      <alignment horizontal="center" readingOrder="0"/>
    </xf>
    <xf borderId="0" fillId="5" fontId="7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0" fontId="8" numFmtId="0" xfId="0" applyBorder="1" applyFont="1"/>
    <xf borderId="0" fillId="6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5" fillId="3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0" fillId="0" fontId="1" numFmtId="1" xfId="0" applyAlignment="1" applyFont="1" applyNumberFormat="1">
      <alignment horizontal="center" readingOrder="0"/>
    </xf>
    <xf borderId="5" fillId="0" fontId="1" numFmtId="1" xfId="0" applyAlignment="1" applyBorder="1" applyFont="1" applyNumberFormat="1">
      <alignment horizontal="center"/>
    </xf>
    <xf borderId="0" fillId="3" fontId="1" numFmtId="0" xfId="0" applyAlignment="1" applyFont="1">
      <alignment horizontal="center"/>
    </xf>
    <xf borderId="0" fillId="3" fontId="6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3" fontId="1" numFmtId="1" xfId="0" applyAlignment="1" applyFont="1" applyNumberFormat="1">
      <alignment horizontal="center"/>
    </xf>
    <xf borderId="5" fillId="0" fontId="1" numFmtId="2" xfId="0" applyAlignment="1" applyBorder="1" applyFont="1" applyNumberFormat="1">
      <alignment horizontal="center"/>
    </xf>
    <xf borderId="0" fillId="7" fontId="1" numFmtId="0" xfId="0" applyAlignment="1" applyFill="1" applyFont="1">
      <alignment horizontal="center" readingOrder="0"/>
    </xf>
    <xf borderId="0" fillId="7" fontId="1" numFmtId="0" xfId="0" applyAlignment="1" applyFont="1">
      <alignment horizontal="center"/>
    </xf>
    <xf borderId="0" fillId="7" fontId="1" numFmtId="165" xfId="0" applyAlignment="1" applyFont="1" applyNumberFormat="1">
      <alignment horizontal="center"/>
    </xf>
    <xf borderId="0" fillId="7" fontId="1" numFmtId="164" xfId="0" applyAlignment="1" applyFont="1" applyNumberFormat="1">
      <alignment horizontal="center" readingOrder="0"/>
    </xf>
    <xf borderId="0" fillId="7" fontId="1" numFmtId="1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6" fillId="3" fontId="1" numFmtId="0" xfId="0" applyAlignment="1" applyBorder="1" applyFont="1">
      <alignment horizontal="center" readingOrder="0"/>
    </xf>
    <xf borderId="7" fillId="0" fontId="1" numFmtId="1" xfId="0" applyAlignment="1" applyBorder="1" applyFont="1" applyNumberFormat="1">
      <alignment horizontal="center"/>
    </xf>
    <xf borderId="7" fillId="0" fontId="1" numFmtId="2" xfId="0" applyAlignment="1" applyBorder="1" applyFont="1" applyNumberFormat="1">
      <alignment horizontal="center"/>
    </xf>
    <xf borderId="8" fillId="0" fontId="1" numFmtId="2" xfId="0" applyAlignment="1" applyBorder="1" applyFont="1" applyNumberFormat="1">
      <alignment horizontal="center"/>
    </xf>
    <xf borderId="0" fillId="7" fontId="1" numFmtId="2" xfId="0" applyAlignment="1" applyFont="1" applyNumberFormat="1">
      <alignment horizontal="center"/>
    </xf>
    <xf borderId="0" fillId="8" fontId="1" numFmtId="0" xfId="0" applyAlignment="1" applyFill="1" applyFont="1">
      <alignment horizontal="center" readingOrder="0"/>
    </xf>
    <xf borderId="5" fillId="8" fontId="1" numFmtId="0" xfId="0" applyAlignment="1" applyBorder="1" applyFon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5" fillId="8" fontId="1" numFmtId="1" xfId="0" applyAlignment="1" applyBorder="1" applyFont="1" applyNumberFormat="1">
      <alignment horizontal="center"/>
    </xf>
    <xf borderId="4" fillId="3" fontId="2" numFmtId="0" xfId="0" applyAlignment="1" applyBorder="1" applyFont="1">
      <alignment horizontal="center" readingOrder="0"/>
    </xf>
    <xf borderId="0" fillId="5" fontId="1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3" fontId="1" numFmtId="164" xfId="0" applyAlignment="1" applyFont="1" applyNumberFormat="1">
      <alignment horizontal="center"/>
    </xf>
    <xf borderId="0" fillId="4" fontId="1" numFmtId="1" xfId="0" applyAlignment="1" applyFont="1" applyNumberFormat="1">
      <alignment horizontal="center"/>
    </xf>
    <xf borderId="5" fillId="8" fontId="1" numFmtId="2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165" xfId="0" applyAlignment="1" applyFont="1" applyNumberFormat="1">
      <alignment readingOrder="0"/>
    </xf>
    <xf borderId="1" fillId="0" fontId="1" numFmtId="0" xfId="0" applyBorder="1" applyFont="1"/>
    <xf borderId="0" fillId="0" fontId="9" numFmtId="0" xfId="0" applyAlignment="1" applyFont="1">
      <alignment horizontal="center" readingOrder="0"/>
    </xf>
    <xf borderId="4" fillId="3" fontId="1" numFmtId="0" xfId="0" applyAlignment="1" applyBorder="1" applyFont="1">
      <alignment horizontal="center"/>
    </xf>
    <xf borderId="4" fillId="0" fontId="6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0" fillId="3" fontId="10" numFmtId="0" xfId="0" applyAlignment="1" applyFont="1">
      <alignment horizontal="center" readingOrder="0"/>
    </xf>
    <xf quotePrefix="1" borderId="0" fillId="3" fontId="1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9" fontId="11" numFmtId="0" xfId="0" applyAlignment="1" applyFill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0" fillId="0" fontId="10" numFmtId="2" xfId="0" applyAlignment="1" applyFont="1" applyNumberFormat="1">
      <alignment horizontal="center"/>
    </xf>
    <xf borderId="0" fillId="9" fontId="11" numFmtId="2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5" fillId="0" fontId="1" numFmtId="0" xfId="0" applyAlignment="1" applyBorder="1" applyFont="1">
      <alignment horizontal="center"/>
    </xf>
    <xf borderId="0" fillId="5" fontId="1" numFmtId="0" xfId="0" applyAlignment="1" applyFont="1">
      <alignment horizontal="center" readingOrder="0"/>
    </xf>
    <xf borderId="0" fillId="5" fontId="1" numFmtId="164" xfId="0" applyAlignment="1" applyFont="1" applyNumberFormat="1">
      <alignment horizontal="center"/>
    </xf>
    <xf borderId="7" fillId="3" fontId="1" numFmtId="0" xfId="0" applyBorder="1" applyFont="1"/>
    <xf borderId="7" fillId="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3</xdr:row>
      <xdr:rowOff>38100</xdr:rowOff>
    </xdr:from>
    <xdr:ext cx="3276600" cy="2028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123825</xdr:colOff>
      <xdr:row>2</xdr:row>
      <xdr:rowOff>57150</xdr:rowOff>
    </xdr:from>
    <xdr:ext cx="3438525" cy="15335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381000</xdr:colOff>
      <xdr:row>2</xdr:row>
      <xdr:rowOff>152400</xdr:rowOff>
    </xdr:from>
    <xdr:ext cx="2981325" cy="16192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25</xdr:row>
      <xdr:rowOff>209550</xdr:rowOff>
    </xdr:from>
    <xdr:ext cx="3276600" cy="2028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123825</xdr:colOff>
      <xdr:row>27</xdr:row>
      <xdr:rowOff>57150</xdr:rowOff>
    </xdr:from>
    <xdr:ext cx="3438525" cy="15335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381000</xdr:colOff>
      <xdr:row>28</xdr:row>
      <xdr:rowOff>57150</xdr:rowOff>
    </xdr:from>
    <xdr:ext cx="2981325" cy="16192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14" max="14" width="17.63"/>
    <col customWidth="1" min="15" max="15" width="17.5"/>
    <col customWidth="1" min="16" max="16" width="15.25"/>
    <col customWidth="1" min="17" max="17" width="18.0"/>
    <col customWidth="1" min="18" max="18" width="19.75"/>
    <col customWidth="1" min="19" max="21" width="15.13"/>
    <col customWidth="1" min="24" max="24" width="15.5"/>
    <col customWidth="1" min="27" max="27" width="18.13"/>
    <col customWidth="1" min="29" max="29" width="18.0"/>
    <col customWidth="1" min="37" max="37" width="18.0"/>
    <col customWidth="1" min="40" max="40" width="23.5"/>
    <col customWidth="1" min="41" max="41" width="20.38"/>
    <col customWidth="1" min="42" max="42" width="15.38"/>
    <col customWidth="1" min="43" max="43" width="25.75"/>
    <col customWidth="1" min="45" max="45" width="19.38"/>
    <col customWidth="1" min="47" max="47" width="18.25"/>
    <col customWidth="1" min="48" max="49" width="14.13"/>
    <col customWidth="1" min="50" max="56" width="16.5"/>
  </cols>
  <sheetData>
    <row r="1">
      <c r="A1" s="1" t="s">
        <v>0</v>
      </c>
      <c r="B1" s="2">
        <f>100000</f>
        <v>100000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4"/>
      <c r="N1" s="5"/>
      <c r="O1" s="6"/>
      <c r="P1" s="6"/>
      <c r="Q1" s="3"/>
      <c r="R1" s="3"/>
      <c r="S1" s="3"/>
      <c r="T1" s="3"/>
      <c r="U1" s="3"/>
      <c r="V1" s="3"/>
      <c r="W1" s="3"/>
      <c r="X1" s="3"/>
      <c r="Y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4"/>
      <c r="AN1" s="7"/>
      <c r="AO1" s="8" t="s">
        <v>2</v>
      </c>
      <c r="AP1" s="9"/>
      <c r="AS1" s="10"/>
      <c r="AT1" s="10"/>
      <c r="AU1" s="10"/>
      <c r="AV1" s="10"/>
      <c r="AW1" s="11" t="s">
        <v>3</v>
      </c>
      <c r="AX1" s="10"/>
      <c r="AY1" s="10"/>
      <c r="AZ1" s="10"/>
      <c r="BA1" s="10"/>
      <c r="BB1" s="10"/>
      <c r="BC1" s="10"/>
      <c r="BD1" s="10"/>
    </row>
    <row r="2">
      <c r="A2" s="12"/>
      <c r="L2" s="13"/>
      <c r="N2" s="12"/>
      <c r="Y2" s="13"/>
      <c r="AA2" s="12"/>
      <c r="AL2" s="13"/>
      <c r="AN2" s="14"/>
      <c r="AO2" s="15" t="s">
        <v>4</v>
      </c>
      <c r="AP2" s="16" t="s">
        <v>5</v>
      </c>
      <c r="AS2" s="11" t="s">
        <v>6</v>
      </c>
      <c r="BA2" s="11"/>
      <c r="BB2" s="11"/>
      <c r="BC2" s="11"/>
      <c r="BD2" s="11"/>
    </row>
    <row r="3">
      <c r="A3" s="12"/>
      <c r="L3" s="13"/>
      <c r="N3" s="17"/>
      <c r="Y3" s="13"/>
      <c r="AA3" s="12"/>
      <c r="AL3" s="13"/>
      <c r="AN3" s="18" t="s">
        <v>7</v>
      </c>
      <c r="AO3" s="19" t="s">
        <v>8</v>
      </c>
      <c r="AP3" s="20">
        <f>B18</f>
        <v>116500</v>
      </c>
      <c r="AS3" s="11" t="s">
        <v>9</v>
      </c>
      <c r="AT3" s="21">
        <f>1548.8</f>
        <v>1548.8</v>
      </c>
      <c r="AU3" s="22" t="s">
        <v>10</v>
      </c>
      <c r="AV3" s="21">
        <f>1962.5*10^-3</f>
        <v>1.9625</v>
      </c>
      <c r="AW3" s="21">
        <f>(B39+B40)/2</f>
        <v>20</v>
      </c>
      <c r="AX3" s="22" t="s">
        <v>11</v>
      </c>
      <c r="AY3" s="21">
        <f>(5939.9*10^-6)</f>
        <v>0.0059399</v>
      </c>
      <c r="AZ3" s="21">
        <f>((B39+B40)/2)^2</f>
        <v>400</v>
      </c>
      <c r="BA3" s="21"/>
      <c r="BB3" s="21"/>
      <c r="BC3" s="21"/>
      <c r="BD3" s="21"/>
    </row>
    <row r="4">
      <c r="A4" s="12"/>
      <c r="L4" s="13"/>
      <c r="N4" s="23"/>
      <c r="Y4" s="13"/>
      <c r="AA4" s="12"/>
      <c r="AL4" s="13"/>
      <c r="AN4" s="24"/>
      <c r="AO4" s="19" t="s">
        <v>12</v>
      </c>
      <c r="AP4" s="20">
        <f>D18</f>
        <v>56000</v>
      </c>
      <c r="AS4" s="11" t="s">
        <v>13</v>
      </c>
      <c r="AT4" s="21">
        <f>4176.2</f>
        <v>4176.2</v>
      </c>
      <c r="AU4" s="21" t="s">
        <v>11</v>
      </c>
      <c r="AV4" s="21">
        <f>(9.0864*10^-2)</f>
        <v>0.090864</v>
      </c>
      <c r="AW4" s="21">
        <f>(B39+B40)/2</f>
        <v>20</v>
      </c>
      <c r="AX4" s="22" t="s">
        <v>10</v>
      </c>
      <c r="AY4" s="21">
        <f>(5.4731*10^-3)</f>
        <v>0.0054731</v>
      </c>
      <c r="AZ4" s="21">
        <f>((B39+B40)/2)^2</f>
        <v>400</v>
      </c>
      <c r="BA4" s="21"/>
      <c r="BB4" s="21"/>
      <c r="BC4" s="21"/>
      <c r="BD4" s="21"/>
    </row>
    <row r="5">
      <c r="A5" s="12"/>
      <c r="L5" s="13"/>
      <c r="N5" s="12"/>
      <c r="Y5" s="13"/>
      <c r="AA5" s="12"/>
      <c r="AL5" s="13"/>
      <c r="AN5" s="24"/>
      <c r="AO5" s="19" t="s">
        <v>14</v>
      </c>
      <c r="AP5" s="20">
        <f>F18</f>
        <v>6500</v>
      </c>
      <c r="AS5" s="11" t="s">
        <v>15</v>
      </c>
      <c r="AT5" s="10">
        <f>1092.6</f>
        <v>1092.6</v>
      </c>
      <c r="AU5" s="22" t="s">
        <v>10</v>
      </c>
      <c r="AV5" s="21">
        <f>(1889.6)*(10^-3)</f>
        <v>1.8896</v>
      </c>
      <c r="AW5" s="10">
        <f>(B39+B40)/2</f>
        <v>20</v>
      </c>
      <c r="AX5" s="21" t="s">
        <v>11</v>
      </c>
      <c r="AY5" s="10">
        <f>(3681.7)*(10^-6)</f>
        <v>0.0036817</v>
      </c>
      <c r="AZ5" s="10">
        <f>((B39+B40)/2)^2</f>
        <v>400</v>
      </c>
      <c r="BA5" s="10"/>
      <c r="BB5" s="10"/>
      <c r="BC5" s="10"/>
      <c r="BD5" s="10"/>
    </row>
    <row r="6">
      <c r="A6" s="12"/>
      <c r="L6" s="13"/>
      <c r="N6" s="12"/>
      <c r="Y6" s="13"/>
      <c r="AA6" s="12"/>
      <c r="AL6" s="13"/>
      <c r="AN6" s="24"/>
      <c r="AO6" s="19" t="s">
        <v>16</v>
      </c>
      <c r="AP6" s="20">
        <f>H18</f>
        <v>150000</v>
      </c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7">
      <c r="A7" s="12"/>
      <c r="L7" s="13"/>
      <c r="N7" s="12"/>
      <c r="Y7" s="13"/>
      <c r="AA7" s="12"/>
      <c r="AL7" s="13"/>
      <c r="AN7" s="18" t="s">
        <v>17</v>
      </c>
      <c r="AO7" s="25"/>
      <c r="AP7" s="26">
        <f>SUM(AP3:AP6)</f>
        <v>329000</v>
      </c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>
      <c r="A8" s="12"/>
      <c r="L8" s="13"/>
      <c r="N8" s="12"/>
      <c r="Y8" s="13"/>
      <c r="AA8" s="12"/>
      <c r="AL8" s="13"/>
      <c r="AN8" s="27" t="s">
        <v>18</v>
      </c>
      <c r="AO8" s="28" t="s">
        <v>18</v>
      </c>
      <c r="AP8" s="29" t="s">
        <v>18</v>
      </c>
      <c r="AS8" s="10"/>
      <c r="AT8" s="10"/>
      <c r="AU8" s="10"/>
      <c r="AV8" s="10"/>
      <c r="AW8" s="11" t="s">
        <v>19</v>
      </c>
      <c r="AX8" s="10"/>
      <c r="AY8" s="10"/>
      <c r="AZ8" s="10"/>
      <c r="BA8" s="10"/>
      <c r="BB8" s="10"/>
      <c r="BC8" s="10"/>
      <c r="BD8" s="10"/>
    </row>
    <row r="9">
      <c r="A9" s="12"/>
      <c r="L9" s="13"/>
      <c r="N9" s="12"/>
      <c r="Y9" s="13"/>
      <c r="AA9" s="12"/>
      <c r="AL9" s="13"/>
      <c r="AN9" s="30" t="s">
        <v>20</v>
      </c>
      <c r="AO9" s="19" t="s">
        <v>21</v>
      </c>
      <c r="AP9" s="31">
        <f t="shared" ref="AP9:AP10" si="1">W21</f>
        <v>31303.10065</v>
      </c>
      <c r="AS9" s="11" t="s">
        <v>6</v>
      </c>
      <c r="BA9" s="11"/>
      <c r="BB9" s="11"/>
      <c r="BC9" s="11"/>
      <c r="BD9" s="11"/>
    </row>
    <row r="10">
      <c r="A10" s="12"/>
      <c r="L10" s="13"/>
      <c r="N10" s="12"/>
      <c r="Y10" s="13"/>
      <c r="AA10" s="12"/>
      <c r="AL10" s="13"/>
      <c r="AN10" s="32"/>
      <c r="AO10" s="19" t="s">
        <v>22</v>
      </c>
      <c r="AP10" s="31">
        <f t="shared" si="1"/>
        <v>11650</v>
      </c>
      <c r="AS10" s="11" t="s">
        <v>9</v>
      </c>
      <c r="AT10" s="21">
        <f>1548.8</f>
        <v>1548.8</v>
      </c>
      <c r="AU10" s="22" t="s">
        <v>10</v>
      </c>
      <c r="AV10" s="21">
        <f>1962.5*10^-3</f>
        <v>1.9625</v>
      </c>
      <c r="AW10" s="21">
        <f>(AB39+AB40)/2</f>
        <v>25</v>
      </c>
      <c r="AX10" s="22" t="s">
        <v>11</v>
      </c>
      <c r="AY10" s="21">
        <f>(5939.9*10^-6)</f>
        <v>0.0059399</v>
      </c>
      <c r="AZ10" s="21">
        <f>((AB39+AB40)/2)^2</f>
        <v>625</v>
      </c>
      <c r="BA10" s="21"/>
      <c r="BB10" s="21"/>
      <c r="BC10" s="21"/>
      <c r="BD10" s="21"/>
    </row>
    <row r="11">
      <c r="A11" s="12"/>
      <c r="L11" s="13"/>
      <c r="N11" s="12"/>
      <c r="Y11" s="13"/>
      <c r="AA11" s="12"/>
      <c r="AL11" s="13"/>
      <c r="AN11" s="32"/>
      <c r="AO11" s="19" t="s">
        <v>23</v>
      </c>
      <c r="AP11" s="31">
        <f>AI23</f>
        <v>286046.8994</v>
      </c>
      <c r="AS11" s="11" t="s">
        <v>13</v>
      </c>
      <c r="AT11" s="21">
        <f>4176.2</f>
        <v>4176.2</v>
      </c>
      <c r="AU11" s="21" t="s">
        <v>11</v>
      </c>
      <c r="AV11" s="21">
        <f>(9.0864*10^-2)</f>
        <v>0.090864</v>
      </c>
      <c r="AW11" s="21">
        <f>(AB39+AB40)/2</f>
        <v>25</v>
      </c>
      <c r="AX11" s="22" t="s">
        <v>10</v>
      </c>
      <c r="AY11" s="21">
        <f>(5.4731*10^-3)</f>
        <v>0.0054731</v>
      </c>
      <c r="AZ11" s="21">
        <f>((AB39+AB40)/2)^2</f>
        <v>625</v>
      </c>
      <c r="BA11" s="21"/>
      <c r="BB11" s="21"/>
      <c r="BC11" s="21"/>
      <c r="BD11" s="21"/>
    </row>
    <row r="12">
      <c r="A12" s="12"/>
      <c r="L12" s="13"/>
      <c r="N12" s="12"/>
      <c r="Y12" s="13"/>
      <c r="AA12" s="12"/>
      <c r="AL12" s="13"/>
      <c r="AN12" s="33" t="s">
        <v>24</v>
      </c>
      <c r="AO12" s="34"/>
      <c r="AP12" s="35">
        <f>SUM(AP9:AP11)</f>
        <v>329000</v>
      </c>
      <c r="AS12" s="11" t="s">
        <v>15</v>
      </c>
      <c r="AT12" s="10">
        <f>1092.6</f>
        <v>1092.6</v>
      </c>
      <c r="AU12" s="22" t="s">
        <v>10</v>
      </c>
      <c r="AV12" s="21">
        <f>(1889.6)*(10^-3)</f>
        <v>1.8896</v>
      </c>
      <c r="AW12" s="10">
        <f>(AB39+AB40)/2</f>
        <v>25</v>
      </c>
      <c r="AX12" s="21" t="s">
        <v>11</v>
      </c>
      <c r="AY12" s="10">
        <f>(3681.7)*(10^-6)</f>
        <v>0.0036817</v>
      </c>
      <c r="AZ12" s="10">
        <f>((AB39+AB40)/2)^2</f>
        <v>625</v>
      </c>
      <c r="BA12" s="10"/>
      <c r="BB12" s="10"/>
      <c r="BC12" s="10"/>
      <c r="BD12" s="10"/>
    </row>
    <row r="13">
      <c r="A13" s="12"/>
      <c r="L13" s="13"/>
      <c r="N13" s="12"/>
      <c r="O13" s="21"/>
      <c r="P13" s="36" t="s">
        <v>25</v>
      </c>
      <c r="Y13" s="13"/>
      <c r="AA13" s="12"/>
      <c r="AL13" s="13"/>
    </row>
    <row r="14">
      <c r="A14" s="12"/>
      <c r="L14" s="13"/>
      <c r="N14" s="12"/>
      <c r="Y14" s="13"/>
      <c r="AA14" s="12"/>
      <c r="AL14" s="13"/>
    </row>
    <row r="15">
      <c r="A15" s="12"/>
      <c r="L15" s="13"/>
      <c r="N15" s="12"/>
      <c r="P15" s="21">
        <v>1.0</v>
      </c>
      <c r="Q15" s="37" t="s">
        <v>26</v>
      </c>
      <c r="R15" s="37" t="s">
        <v>27</v>
      </c>
      <c r="S15" s="21">
        <v>2.0</v>
      </c>
      <c r="T15" s="37" t="s">
        <v>28</v>
      </c>
      <c r="U15" s="22" t="s">
        <v>10</v>
      </c>
      <c r="V15" s="21">
        <v>2.0</v>
      </c>
      <c r="W15" s="37" t="s">
        <v>29</v>
      </c>
      <c r="Y15" s="13"/>
      <c r="AA15" s="12"/>
      <c r="AL15" s="13"/>
      <c r="AN15" s="7"/>
      <c r="AO15" s="38" t="s">
        <v>30</v>
      </c>
      <c r="AP15" s="39"/>
      <c r="AQ15" s="9"/>
      <c r="AS15" s="10"/>
      <c r="AT15" s="21"/>
      <c r="AU15" s="10"/>
      <c r="AV15" s="21"/>
      <c r="AW15" s="11" t="s">
        <v>31</v>
      </c>
      <c r="AX15" s="10"/>
      <c r="AY15" s="21"/>
      <c r="AZ15" s="10"/>
      <c r="BA15" s="10"/>
      <c r="BB15" s="21"/>
      <c r="BC15" s="10"/>
      <c r="BD15" s="10"/>
    </row>
    <row r="16">
      <c r="A16" s="40" t="s">
        <v>32</v>
      </c>
      <c r="L16" s="13"/>
      <c r="N16" s="12"/>
      <c r="Y16" s="13"/>
      <c r="AA16" s="17"/>
      <c r="AB16" s="21"/>
      <c r="AC16" s="41" t="s">
        <v>33</v>
      </c>
      <c r="AJ16" s="21"/>
      <c r="AK16" s="10"/>
      <c r="AL16" s="13"/>
      <c r="AN16" s="42" t="s">
        <v>34</v>
      </c>
      <c r="AO16" s="11" t="s">
        <v>35</v>
      </c>
      <c r="AP16" s="11" t="s">
        <v>36</v>
      </c>
      <c r="AQ16" s="43" t="s">
        <v>37</v>
      </c>
      <c r="AS16" s="11" t="s">
        <v>38</v>
      </c>
      <c r="BA16" s="11"/>
      <c r="BB16" s="11"/>
      <c r="BC16" s="11"/>
      <c r="BD16" s="11"/>
    </row>
    <row r="17">
      <c r="A17" s="44"/>
      <c r="B17" s="11" t="s">
        <v>39</v>
      </c>
      <c r="D17" s="11" t="s">
        <v>40</v>
      </c>
      <c r="F17" s="11" t="s">
        <v>41</v>
      </c>
      <c r="H17" s="11" t="s">
        <v>42</v>
      </c>
      <c r="J17" s="11" t="s">
        <v>43</v>
      </c>
      <c r="L17" s="13"/>
      <c r="N17" s="12"/>
      <c r="P17" s="11" t="s">
        <v>44</v>
      </c>
      <c r="Q17" s="11" t="s">
        <v>45</v>
      </c>
      <c r="R17" s="11" t="s">
        <v>46</v>
      </c>
      <c r="S17" s="11" t="s">
        <v>47</v>
      </c>
      <c r="T17" s="11" t="s">
        <v>48</v>
      </c>
      <c r="U17" s="11" t="s">
        <v>49</v>
      </c>
      <c r="V17" s="11" t="s">
        <v>50</v>
      </c>
      <c r="W17" s="11" t="s">
        <v>51</v>
      </c>
      <c r="Y17" s="13"/>
      <c r="AA17" s="17"/>
      <c r="AB17" s="10"/>
      <c r="AC17" s="10"/>
      <c r="AD17" s="11" t="s">
        <v>52</v>
      </c>
      <c r="AF17" s="11" t="s">
        <v>53</v>
      </c>
      <c r="AH17" s="11" t="s">
        <v>54</v>
      </c>
      <c r="AL17" s="13"/>
      <c r="AN17" s="42" t="s">
        <v>3</v>
      </c>
      <c r="AO17" s="45">
        <v>0.0</v>
      </c>
      <c r="AP17" s="10">
        <f>(AO17/K23)*100</f>
        <v>0</v>
      </c>
      <c r="AQ17" s="46">
        <f>((B18+D18+F18+H18)/K23)*100</f>
        <v>100</v>
      </c>
      <c r="AS17" s="47"/>
      <c r="AT17" s="11" t="s">
        <v>55</v>
      </c>
      <c r="AU17" s="47"/>
      <c r="AV17" s="11" t="s">
        <v>56</v>
      </c>
      <c r="AW17" s="47"/>
      <c r="AX17" s="47"/>
      <c r="AY17" s="11" t="s">
        <v>57</v>
      </c>
      <c r="AZ17" s="47"/>
      <c r="BA17" s="47"/>
      <c r="BB17" s="11" t="s">
        <v>58</v>
      </c>
      <c r="BC17" s="47"/>
      <c r="BD17" s="47"/>
    </row>
    <row r="18">
      <c r="A18" s="42" t="s">
        <v>59</v>
      </c>
      <c r="B18" s="47">
        <f>1.165*B1</f>
        <v>116500</v>
      </c>
      <c r="D18" s="47">
        <f>0.56*B1</f>
        <v>56000</v>
      </c>
      <c r="F18" s="47">
        <f>0.065*B1</f>
        <v>6500</v>
      </c>
      <c r="H18" s="47">
        <f>1.5*B1</f>
        <v>150000</v>
      </c>
      <c r="J18" s="47">
        <f>SUM(B18:I18)</f>
        <v>329000</v>
      </c>
      <c r="L18" s="13"/>
      <c r="N18" s="12"/>
      <c r="P18" s="48" t="s">
        <v>60</v>
      </c>
      <c r="Q18" s="10">
        <f t="shared" ref="Q18:Q19" si="2">K20</f>
        <v>64070</v>
      </c>
      <c r="R18" s="49">
        <v>180.156</v>
      </c>
      <c r="S18" s="50">
        <f t="shared" ref="S18:S19" si="3">Q18/R18</f>
        <v>355.6362264</v>
      </c>
      <c r="T18" s="50">
        <f>(S18*P15)/P15</f>
        <v>355.6362264</v>
      </c>
      <c r="U18" s="51">
        <f>S18-T18</f>
        <v>0</v>
      </c>
      <c r="V18" s="52">
        <f>U18/U23</f>
        <v>0</v>
      </c>
      <c r="W18" s="51">
        <f t="shared" ref="W18:W21" si="4">U18*R18</f>
        <v>0</v>
      </c>
      <c r="Y18" s="13"/>
      <c r="AA18" s="17"/>
      <c r="AB18" s="10"/>
      <c r="AC18" s="11" t="s">
        <v>59</v>
      </c>
      <c r="AD18" s="53">
        <f>W23-W21</f>
        <v>297696.8994</v>
      </c>
      <c r="AF18" s="53">
        <f>W22</f>
        <v>11650</v>
      </c>
      <c r="AH18" s="53">
        <f>AI23</f>
        <v>286046.8994</v>
      </c>
      <c r="AJ18" s="10"/>
      <c r="AL18" s="13"/>
      <c r="AN18" s="42" t="s">
        <v>31</v>
      </c>
      <c r="AO18" s="51">
        <f>W21</f>
        <v>31303.10065</v>
      </c>
      <c r="AP18" s="50">
        <f>(AO18/W23)*100</f>
        <v>9.514620257</v>
      </c>
      <c r="AQ18" s="54">
        <f>((W23-W21)/(Q18+Q19+Q22))*100</f>
        <v>90.48537974</v>
      </c>
      <c r="AS18" s="11" t="s">
        <v>9</v>
      </c>
      <c r="AT18" s="21">
        <f>1548.8</f>
        <v>1548.8</v>
      </c>
      <c r="AU18" s="22" t="s">
        <v>10</v>
      </c>
      <c r="AV18" s="21">
        <f>1962.5*10^-3</f>
        <v>1.9625</v>
      </c>
      <c r="AW18" s="21">
        <f>(P29+P30)/2</f>
        <v>25</v>
      </c>
      <c r="AX18" s="22" t="s">
        <v>11</v>
      </c>
      <c r="AY18" s="21">
        <f>(5939.9*10^-6)</f>
        <v>0.0059399</v>
      </c>
      <c r="AZ18" s="21">
        <f>((P29+P30)/2)^2</f>
        <v>625</v>
      </c>
      <c r="BA18" s="21"/>
      <c r="BB18" s="21"/>
      <c r="BC18" s="21"/>
      <c r="BD18" s="21"/>
    </row>
    <row r="19">
      <c r="A19" s="42" t="s">
        <v>61</v>
      </c>
      <c r="B19" s="55" t="s">
        <v>62</v>
      </c>
      <c r="C19" s="55" t="s">
        <v>63</v>
      </c>
      <c r="D19" s="55" t="s">
        <v>62</v>
      </c>
      <c r="E19" s="55" t="s">
        <v>63</v>
      </c>
      <c r="F19" s="55" t="s">
        <v>62</v>
      </c>
      <c r="G19" s="55" t="s">
        <v>63</v>
      </c>
      <c r="H19" s="55" t="s">
        <v>62</v>
      </c>
      <c r="I19" s="55" t="s">
        <v>63</v>
      </c>
      <c r="J19" s="55" t="s">
        <v>62</v>
      </c>
      <c r="K19" s="55" t="s">
        <v>63</v>
      </c>
      <c r="L19" s="13"/>
      <c r="N19" s="12"/>
      <c r="P19" s="48" t="s">
        <v>64</v>
      </c>
      <c r="Q19" s="10">
        <f t="shared" si="2"/>
        <v>253280</v>
      </c>
      <c r="R19" s="49">
        <v>18.015</v>
      </c>
      <c r="S19" s="50">
        <f t="shared" si="3"/>
        <v>14059.39495</v>
      </c>
      <c r="T19" s="21" t="s">
        <v>11</v>
      </c>
      <c r="U19" s="50">
        <f>S19</f>
        <v>14059.39495</v>
      </c>
      <c r="V19" s="52">
        <f>U19/U23</f>
        <v>0.9081158486</v>
      </c>
      <c r="W19" s="51">
        <f t="shared" si="4"/>
        <v>253280</v>
      </c>
      <c r="Y19" s="13"/>
      <c r="AA19" s="17"/>
      <c r="AB19" s="10"/>
      <c r="AC19" s="11" t="s">
        <v>61</v>
      </c>
      <c r="AD19" s="55" t="s">
        <v>62</v>
      </c>
      <c r="AE19" s="55" t="s">
        <v>63</v>
      </c>
      <c r="AF19" s="55" t="s">
        <v>62</v>
      </c>
      <c r="AG19" s="55" t="s">
        <v>63</v>
      </c>
      <c r="AH19" s="55" t="s">
        <v>62</v>
      </c>
      <c r="AI19" s="55" t="s">
        <v>63</v>
      </c>
      <c r="AJ19" s="21"/>
      <c r="AL19" s="13"/>
      <c r="AN19" s="42" t="s">
        <v>19</v>
      </c>
      <c r="AO19" s="51">
        <f>AF18</f>
        <v>11650</v>
      </c>
      <c r="AP19" s="50">
        <f>(AF18/K23)*100</f>
        <v>3.541033435</v>
      </c>
      <c r="AQ19" s="54">
        <f>((AI23)/AD18)*100</f>
        <v>96.08662367</v>
      </c>
      <c r="AS19" s="11" t="s">
        <v>13</v>
      </c>
      <c r="AT19" s="21">
        <f>4176.2</f>
        <v>4176.2</v>
      </c>
      <c r="AU19" s="21" t="s">
        <v>11</v>
      </c>
      <c r="AV19" s="21">
        <f>(9.0864*10^-2)</f>
        <v>0.090864</v>
      </c>
      <c r="AW19" s="21">
        <f>(P29+P30)/2</f>
        <v>25</v>
      </c>
      <c r="AX19" s="22" t="s">
        <v>10</v>
      </c>
      <c r="AY19" s="21">
        <f>(5.4731*10^-3)</f>
        <v>0.0054731</v>
      </c>
      <c r="AZ19" s="21">
        <f>((P29+P30)/2)^2</f>
        <v>625</v>
      </c>
      <c r="BA19" s="21"/>
      <c r="BB19" s="21"/>
      <c r="BC19" s="21"/>
      <c r="BD19" s="21"/>
    </row>
    <row r="20">
      <c r="A20" s="42" t="s">
        <v>65</v>
      </c>
      <c r="B20" s="55">
        <v>0.1</v>
      </c>
      <c r="C20" s="56">
        <f>B20*B18</f>
        <v>11650</v>
      </c>
      <c r="D20" s="55">
        <v>0.82</v>
      </c>
      <c r="E20" s="56">
        <f>D20*D18</f>
        <v>45920</v>
      </c>
      <c r="F20" s="55">
        <v>1.0</v>
      </c>
      <c r="G20" s="56">
        <f>F20*F18</f>
        <v>6500</v>
      </c>
      <c r="H20" s="55">
        <v>0.0</v>
      </c>
      <c r="I20" s="56">
        <f>H20*H18</f>
        <v>0</v>
      </c>
      <c r="J20" s="57">
        <f>SUMPRODUCT(B18:I18,B20:I20)/J18</f>
        <v>0.1947416413</v>
      </c>
      <c r="K20" s="56">
        <f>J20*J18</f>
        <v>64070</v>
      </c>
      <c r="L20" s="13"/>
      <c r="N20" s="12"/>
      <c r="P20" s="48" t="s">
        <v>66</v>
      </c>
      <c r="Q20" s="21" t="s">
        <v>11</v>
      </c>
      <c r="R20" s="49">
        <v>46.068</v>
      </c>
      <c r="S20" s="21" t="s">
        <v>11</v>
      </c>
      <c r="T20" s="21" t="s">
        <v>11</v>
      </c>
      <c r="U20" s="50">
        <f>(S18*S15)/P15</f>
        <v>711.2724528</v>
      </c>
      <c r="V20" s="52">
        <f>U20/U23</f>
        <v>0.0459420757</v>
      </c>
      <c r="W20" s="51">
        <f t="shared" si="4"/>
        <v>32766.89935</v>
      </c>
      <c r="Y20" s="13"/>
      <c r="AA20" s="17"/>
      <c r="AB20" s="10"/>
      <c r="AC20" s="11" t="s">
        <v>67</v>
      </c>
      <c r="AD20" s="58">
        <f>AE20/AE23</f>
        <v>0.11006799</v>
      </c>
      <c r="AE20" s="59">
        <f>W20</f>
        <v>32766.89935</v>
      </c>
      <c r="AF20" s="58">
        <f>AG20/AG23</f>
        <v>0</v>
      </c>
      <c r="AG20" s="55">
        <v>0.0</v>
      </c>
      <c r="AH20" s="58">
        <f>AI20/AI23</f>
        <v>0.1145507937</v>
      </c>
      <c r="AI20" s="59">
        <f t="shared" ref="AI20:AI21" si="6">AE20+AG20</f>
        <v>32766.89935</v>
      </c>
      <c r="AJ20" s="60"/>
      <c r="AL20" s="13"/>
      <c r="AN20" s="61" t="s">
        <v>68</v>
      </c>
      <c r="AO20" s="62">
        <f t="shared" ref="AO20:AP20" si="5">SUM(AO17:AO19)</f>
        <v>42953.10065</v>
      </c>
      <c r="AP20" s="63">
        <f t="shared" si="5"/>
        <v>13.05565369</v>
      </c>
      <c r="AQ20" s="64">
        <f>(AI23/(B18+D18+F18+H18))*100</f>
        <v>86.94434631</v>
      </c>
      <c r="AS20" s="11" t="s">
        <v>15</v>
      </c>
      <c r="AT20" s="10">
        <f>1092.6</f>
        <v>1092.6</v>
      </c>
      <c r="AU20" s="22" t="s">
        <v>10</v>
      </c>
      <c r="AV20" s="21">
        <f>(1889.6)*(10^-3)</f>
        <v>1.8896</v>
      </c>
      <c r="AW20" s="10">
        <f>(P29+P30)/2</f>
        <v>25</v>
      </c>
      <c r="AX20" s="21" t="s">
        <v>11</v>
      </c>
      <c r="AY20" s="10">
        <f>(3681.7)*(10^-6)</f>
        <v>0.0036817</v>
      </c>
      <c r="AZ20" s="10">
        <f>((P29+P30)/2)^2</f>
        <v>625</v>
      </c>
      <c r="BA20" s="10"/>
      <c r="BB20" s="10"/>
      <c r="BC20" s="10"/>
      <c r="BD20" s="10"/>
    </row>
    <row r="21">
      <c r="A21" s="42" t="s">
        <v>69</v>
      </c>
      <c r="B21" s="55">
        <v>0.8</v>
      </c>
      <c r="C21" s="56">
        <f>B21*B18</f>
        <v>93200</v>
      </c>
      <c r="D21" s="55">
        <v>0.18</v>
      </c>
      <c r="E21" s="56">
        <f>D21*D18</f>
        <v>10080</v>
      </c>
      <c r="F21" s="55">
        <v>0.0</v>
      </c>
      <c r="G21" s="56">
        <f>F21*F18</f>
        <v>0</v>
      </c>
      <c r="H21" s="55">
        <v>1.0</v>
      </c>
      <c r="I21" s="56">
        <f>H21*H18</f>
        <v>150000</v>
      </c>
      <c r="J21" s="65">
        <f>SUMPRODUCT(B18:I18,B21:I21)/J18</f>
        <v>0.7698480243</v>
      </c>
      <c r="K21" s="56">
        <f>J21*J18</f>
        <v>253280</v>
      </c>
      <c r="L21" s="13"/>
      <c r="N21" s="12"/>
      <c r="P21" s="48" t="s">
        <v>70</v>
      </c>
      <c r="Q21" s="21" t="s">
        <v>11</v>
      </c>
      <c r="R21" s="49">
        <v>44.01</v>
      </c>
      <c r="S21" s="21" t="s">
        <v>11</v>
      </c>
      <c r="T21" s="21" t="s">
        <v>11</v>
      </c>
      <c r="U21" s="50">
        <f>(S18*V15)/P15</f>
        <v>711.2724528</v>
      </c>
      <c r="V21" s="52">
        <f>U21/U23</f>
        <v>0.0459420757</v>
      </c>
      <c r="W21" s="51">
        <f t="shared" si="4"/>
        <v>31303.10065</v>
      </c>
      <c r="Y21" s="13"/>
      <c r="AA21" s="12"/>
      <c r="AB21" s="10"/>
      <c r="AC21" s="11" t="s">
        <v>71</v>
      </c>
      <c r="AD21" s="58">
        <f>AE21/AE23</f>
        <v>0.8507982466</v>
      </c>
      <c r="AE21" s="59">
        <f>W19</f>
        <v>253280</v>
      </c>
      <c r="AF21" s="58">
        <f>AG21/AG23</f>
        <v>0</v>
      </c>
      <c r="AG21" s="55">
        <v>0.0</v>
      </c>
      <c r="AH21" s="58">
        <f>AI21/AI23</f>
        <v>0.8854492063</v>
      </c>
      <c r="AI21" s="59">
        <f t="shared" si="6"/>
        <v>253280</v>
      </c>
      <c r="AJ21" s="50"/>
      <c r="AK21" s="66" t="s">
        <v>72</v>
      </c>
      <c r="AL21" s="67" t="s">
        <v>73</v>
      </c>
      <c r="AM21" s="21"/>
      <c r="AS21" s="11" t="s">
        <v>74</v>
      </c>
      <c r="AT21" s="10">
        <f>36.11*10^-3</f>
        <v>0.03611</v>
      </c>
      <c r="AU21" s="22" t="s">
        <v>10</v>
      </c>
      <c r="AV21" s="21">
        <f>4.233*10^-5</f>
        <v>0.00004233</v>
      </c>
      <c r="AW21" s="10">
        <f>(P29+P30)/2</f>
        <v>25</v>
      </c>
      <c r="AX21" s="22" t="s">
        <v>11</v>
      </c>
      <c r="AY21" s="10">
        <f>2.887*10^-8</f>
        <v>0.00000002887</v>
      </c>
      <c r="AZ21" s="10">
        <f>((P29+P30)/2)^2</f>
        <v>625</v>
      </c>
      <c r="BA21" s="22" t="s">
        <v>10</v>
      </c>
      <c r="BB21" s="68">
        <f>7.464*10^-12</f>
        <v>0</v>
      </c>
      <c r="BC21" s="10">
        <f>((P29+P30)/2)^3</f>
        <v>15625</v>
      </c>
      <c r="BD21" s="10"/>
    </row>
    <row r="22">
      <c r="A22" s="42" t="s">
        <v>75</v>
      </c>
      <c r="B22" s="55">
        <v>0.1</v>
      </c>
      <c r="C22" s="56">
        <f>B22*B18</f>
        <v>11650</v>
      </c>
      <c r="D22" s="55">
        <v>0.0</v>
      </c>
      <c r="E22" s="56">
        <f>D22*D18</f>
        <v>0</v>
      </c>
      <c r="F22" s="55">
        <v>0.0</v>
      </c>
      <c r="G22" s="56">
        <f>F22*F18</f>
        <v>0</v>
      </c>
      <c r="H22" s="55">
        <v>0.0</v>
      </c>
      <c r="I22" s="56">
        <f>H22*H18</f>
        <v>0</v>
      </c>
      <c r="J22" s="57">
        <f>SUMPRODUCT(B18:I18,B22:I22)/J18</f>
        <v>0.03541033435</v>
      </c>
      <c r="K22" s="56">
        <f>J22*J18</f>
        <v>11650</v>
      </c>
      <c r="L22" s="13"/>
      <c r="N22" s="12"/>
      <c r="P22" s="11" t="s">
        <v>76</v>
      </c>
      <c r="Q22" s="10">
        <f>K22</f>
        <v>11650</v>
      </c>
      <c r="R22" s="21" t="s">
        <v>11</v>
      </c>
      <c r="S22" s="21" t="s">
        <v>11</v>
      </c>
      <c r="T22" s="21" t="s">
        <v>11</v>
      </c>
      <c r="U22" s="21" t="s">
        <v>11</v>
      </c>
      <c r="V22" s="69" t="s">
        <v>11</v>
      </c>
      <c r="W22" s="51">
        <f>Q22</f>
        <v>11650</v>
      </c>
      <c r="Y22" s="13"/>
      <c r="AA22" s="12"/>
      <c r="AB22" s="10"/>
      <c r="AC22" s="11" t="s">
        <v>77</v>
      </c>
      <c r="AD22" s="58">
        <f>AE22/AE23</f>
        <v>0.03913376332</v>
      </c>
      <c r="AE22" s="59">
        <f>W22</f>
        <v>11650</v>
      </c>
      <c r="AF22" s="58">
        <f>AG22/AG23</f>
        <v>1</v>
      </c>
      <c r="AG22" s="59">
        <f>AF18</f>
        <v>11650</v>
      </c>
      <c r="AH22" s="58">
        <f>AI22/AI23</f>
        <v>0</v>
      </c>
      <c r="AI22" s="59">
        <f>AE22-AG22</f>
        <v>0</v>
      </c>
      <c r="AJ22" s="60"/>
      <c r="AK22" s="66" t="s">
        <v>78</v>
      </c>
      <c r="AL22" s="70">
        <f>AH18</f>
        <v>286046.8994</v>
      </c>
      <c r="AM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</row>
    <row r="23">
      <c r="A23" s="71" t="s">
        <v>79</v>
      </c>
      <c r="B23" s="47">
        <f t="shared" ref="B23:K23" si="7">SUM(B20:B22)</f>
        <v>1</v>
      </c>
      <c r="C23" s="47">
        <f t="shared" si="7"/>
        <v>116500</v>
      </c>
      <c r="D23" s="47">
        <f t="shared" si="7"/>
        <v>1</v>
      </c>
      <c r="E23" s="47">
        <f t="shared" si="7"/>
        <v>56000</v>
      </c>
      <c r="F23" s="47">
        <f t="shared" si="7"/>
        <v>1</v>
      </c>
      <c r="G23" s="47">
        <f t="shared" si="7"/>
        <v>6500</v>
      </c>
      <c r="H23" s="47">
        <f t="shared" si="7"/>
        <v>1</v>
      </c>
      <c r="I23" s="47">
        <f t="shared" si="7"/>
        <v>150000</v>
      </c>
      <c r="J23" s="53">
        <f t="shared" si="7"/>
        <v>1</v>
      </c>
      <c r="K23" s="72">
        <f t="shared" si="7"/>
        <v>329000</v>
      </c>
      <c r="L23" s="13"/>
      <c r="N23" s="12"/>
      <c r="P23" s="73" t="s">
        <v>79</v>
      </c>
      <c r="Q23" s="47">
        <f>SUM(Q18:Q22)</f>
        <v>329000</v>
      </c>
      <c r="R23" s="47"/>
      <c r="S23" s="47"/>
      <c r="T23" s="47"/>
      <c r="U23" s="53">
        <f t="shared" ref="U23:W23" si="8">SUM(U18:U22)</f>
        <v>15481.93985</v>
      </c>
      <c r="V23" s="74">
        <f t="shared" si="8"/>
        <v>1</v>
      </c>
      <c r="W23" s="75">
        <f t="shared" si="8"/>
        <v>329000</v>
      </c>
      <c r="Y23" s="13"/>
      <c r="AA23" s="12"/>
      <c r="AB23" s="10"/>
      <c r="AC23" s="73" t="s">
        <v>79</v>
      </c>
      <c r="AD23" s="74">
        <f t="shared" ref="AD23:AI23" si="9">SUM(AD20:AD22)</f>
        <v>1</v>
      </c>
      <c r="AE23" s="53">
        <f t="shared" si="9"/>
        <v>297696.8994</v>
      </c>
      <c r="AF23" s="74">
        <f t="shared" si="9"/>
        <v>1</v>
      </c>
      <c r="AG23" s="47">
        <f t="shared" si="9"/>
        <v>11650</v>
      </c>
      <c r="AH23" s="74">
        <f t="shared" si="9"/>
        <v>1</v>
      </c>
      <c r="AI23" s="75">
        <f t="shared" si="9"/>
        <v>286046.8994</v>
      </c>
      <c r="AJ23" s="51"/>
      <c r="AK23" s="66" t="s">
        <v>80</v>
      </c>
      <c r="AL23" s="76" t="str">
        <f>AL22/AL21</f>
        <v>#VALUE!</v>
      </c>
      <c r="AM23" s="50"/>
      <c r="AN23" s="77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>
      <c r="A24" s="78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80"/>
      <c r="N24" s="78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80"/>
      <c r="AA24" s="78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0"/>
      <c r="AW24" s="11" t="s">
        <v>81</v>
      </c>
      <c r="AX24" s="10"/>
      <c r="AY24" s="10"/>
      <c r="AZ24" s="10"/>
      <c r="BA24" s="10"/>
      <c r="BB24" s="10"/>
      <c r="BC24" s="10"/>
      <c r="BD24" s="10"/>
    </row>
    <row r="25">
      <c r="F25" s="81"/>
      <c r="AS25" s="10"/>
      <c r="AT25" s="21"/>
      <c r="AU25" s="47"/>
      <c r="AV25" s="11" t="s">
        <v>82</v>
      </c>
      <c r="AW25" s="11" t="s">
        <v>83</v>
      </c>
      <c r="AX25" s="11" t="s">
        <v>84</v>
      </c>
      <c r="AY25" s="10"/>
      <c r="AZ25" s="10"/>
      <c r="BA25" s="21"/>
      <c r="BB25" s="10"/>
      <c r="BC25" s="10"/>
      <c r="BD25" s="21"/>
    </row>
    <row r="26">
      <c r="A26" s="82"/>
      <c r="B26" s="3"/>
      <c r="C26" s="6"/>
      <c r="D26" s="3"/>
      <c r="E26" s="3"/>
      <c r="F26" s="3"/>
      <c r="G26" s="3"/>
      <c r="H26" s="3"/>
      <c r="I26" s="3"/>
      <c r="J26" s="3"/>
      <c r="K26" s="3"/>
      <c r="L26" s="4"/>
      <c r="N26" s="82"/>
      <c r="O26" s="3"/>
      <c r="P26" s="6"/>
      <c r="Q26" s="3"/>
      <c r="R26" s="3"/>
      <c r="S26" s="3"/>
      <c r="T26" s="3"/>
      <c r="U26" s="3"/>
      <c r="V26" s="3"/>
      <c r="W26" s="3"/>
      <c r="X26" s="3"/>
      <c r="Y26" s="4"/>
      <c r="AA26" s="5"/>
      <c r="AB26" s="6"/>
      <c r="AC26" s="6"/>
      <c r="AD26" s="3"/>
      <c r="AE26" s="3"/>
      <c r="AF26" s="3"/>
      <c r="AG26" s="3"/>
      <c r="AH26" s="3"/>
      <c r="AI26" s="3"/>
      <c r="AJ26" s="3"/>
      <c r="AK26" s="3"/>
      <c r="AL26" s="4"/>
      <c r="AU26" s="11" t="s">
        <v>85</v>
      </c>
      <c r="AV26" s="21">
        <v>0.0</v>
      </c>
      <c r="AW26" s="10">
        <f>103.1</f>
        <v>103.1</v>
      </c>
      <c r="AX26" s="21" t="s">
        <v>11</v>
      </c>
      <c r="AY26" s="10"/>
      <c r="AZ26" s="10"/>
      <c r="BA26" s="21"/>
      <c r="BB26" s="21"/>
      <c r="BC26" s="21"/>
      <c r="BD26" s="10"/>
    </row>
    <row r="27">
      <c r="A27" s="12"/>
      <c r="L27" s="13"/>
      <c r="N27" s="12"/>
      <c r="Y27" s="13"/>
      <c r="AA27" s="12"/>
      <c r="AL27" s="13"/>
      <c r="AU27" s="11" t="s">
        <v>86</v>
      </c>
      <c r="AV27" s="10">
        <f>AW18</f>
        <v>25</v>
      </c>
      <c r="AW27" s="10">
        <f>AW26+((AV27-AV26)*(AW28-AW26)/(AV28-X1))</f>
        <v>117.025</v>
      </c>
      <c r="AX27" s="52">
        <f>AW27/R20</f>
        <v>2.540266562</v>
      </c>
      <c r="AY27" s="10"/>
      <c r="AZ27" s="21"/>
      <c r="BA27" s="21"/>
      <c r="BB27" s="10"/>
      <c r="BC27" s="10"/>
      <c r="BD27" s="10"/>
    </row>
    <row r="28">
      <c r="A28" s="12"/>
      <c r="L28" s="13"/>
      <c r="N28" s="12"/>
      <c r="O28" s="47"/>
      <c r="Y28" s="13"/>
      <c r="AA28" s="12"/>
      <c r="AL28" s="13"/>
      <c r="AU28" s="11" t="s">
        <v>87</v>
      </c>
      <c r="AV28" s="21">
        <v>100.0</v>
      </c>
      <c r="AW28" s="10">
        <f>158.8</f>
        <v>158.8</v>
      </c>
      <c r="AX28" s="21" t="s">
        <v>11</v>
      </c>
      <c r="AY28" s="10"/>
      <c r="AZ28" s="21"/>
      <c r="BA28" s="21"/>
      <c r="BB28" s="10"/>
      <c r="BC28" s="10"/>
      <c r="BD28" s="10"/>
    </row>
    <row r="29">
      <c r="A29" s="12"/>
      <c r="L29" s="13"/>
      <c r="N29" s="12"/>
      <c r="O29" s="37" t="s">
        <v>88</v>
      </c>
      <c r="P29" s="21">
        <f>B40</f>
        <v>20</v>
      </c>
      <c r="Y29" s="13"/>
      <c r="AA29" s="12"/>
      <c r="AL29" s="13"/>
      <c r="AY29" s="10"/>
      <c r="AZ29" s="21"/>
      <c r="BA29" s="10"/>
      <c r="BB29" s="10"/>
      <c r="BC29" s="52"/>
      <c r="BD29" s="10"/>
    </row>
    <row r="30">
      <c r="A30" s="12"/>
      <c r="L30" s="13"/>
      <c r="N30" s="12"/>
      <c r="O30" s="37" t="s">
        <v>89</v>
      </c>
      <c r="P30" s="21">
        <v>30.0</v>
      </c>
      <c r="Y30" s="13"/>
      <c r="AA30" s="12"/>
      <c r="AL30" s="13"/>
    </row>
    <row r="31">
      <c r="A31" s="12"/>
      <c r="L31" s="13"/>
      <c r="N31" s="12"/>
      <c r="O31" s="21" t="s">
        <v>90</v>
      </c>
      <c r="P31" s="21">
        <v>25.0</v>
      </c>
      <c r="Y31" s="13"/>
      <c r="AA31" s="12"/>
      <c r="AL31" s="13"/>
    </row>
    <row r="32">
      <c r="A32" s="12"/>
      <c r="L32" s="13"/>
      <c r="N32" s="12"/>
      <c r="O32" s="21" t="s">
        <v>91</v>
      </c>
      <c r="P32" s="10">
        <f>582</f>
        <v>582</v>
      </c>
      <c r="Q32" s="10"/>
      <c r="R32" s="10"/>
      <c r="Y32" s="13"/>
      <c r="AA32" s="12"/>
      <c r="AL32" s="13"/>
      <c r="AS32" s="10"/>
      <c r="AT32" s="10"/>
      <c r="AU32" s="10"/>
      <c r="AV32" s="10"/>
      <c r="AW32" s="51"/>
      <c r="AX32" s="10"/>
    </row>
    <row r="33">
      <c r="A33" s="12"/>
      <c r="L33" s="13"/>
      <c r="N33" s="12"/>
      <c r="O33" s="83" t="s">
        <v>92</v>
      </c>
      <c r="P33" s="10">
        <f>Q18*P32</f>
        <v>37288740</v>
      </c>
      <c r="Q33" s="10"/>
      <c r="R33" s="10"/>
      <c r="Y33" s="13"/>
      <c r="AA33" s="12"/>
      <c r="AL33" s="13"/>
    </row>
    <row r="34">
      <c r="A34" s="12"/>
      <c r="L34" s="13"/>
      <c r="N34" s="12"/>
      <c r="O34" s="21" t="s">
        <v>93</v>
      </c>
      <c r="P34" s="49">
        <f>R41+P33-X43</f>
        <v>25463642.48</v>
      </c>
      <c r="Y34" s="13"/>
      <c r="AA34" s="12"/>
      <c r="AL34" s="13"/>
    </row>
    <row r="35">
      <c r="A35" s="17"/>
      <c r="L35" s="13"/>
      <c r="N35" s="12"/>
      <c r="O35" s="47"/>
      <c r="Y35" s="13"/>
      <c r="AA35" s="12"/>
      <c r="AL35" s="13"/>
    </row>
    <row r="36">
      <c r="A36" s="12"/>
      <c r="L36" s="13"/>
      <c r="N36" s="12"/>
      <c r="Y36" s="13"/>
      <c r="AA36" s="44" t="str">
        <f>W47</f>
        <v/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3"/>
    </row>
    <row r="37">
      <c r="A37" s="12"/>
      <c r="L37" s="13"/>
      <c r="N37" s="12"/>
      <c r="O37" s="11" t="s">
        <v>94</v>
      </c>
      <c r="P37" s="11" t="s">
        <v>84</v>
      </c>
      <c r="Q37" s="11" t="s">
        <v>95</v>
      </c>
      <c r="R37" s="11" t="s">
        <v>96</v>
      </c>
      <c r="U37" s="11" t="s">
        <v>44</v>
      </c>
      <c r="V37" s="11" t="s">
        <v>84</v>
      </c>
      <c r="W37" s="11" t="s">
        <v>51</v>
      </c>
      <c r="X37" s="11" t="s">
        <v>97</v>
      </c>
      <c r="Y37" s="13"/>
      <c r="AA37" s="44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3"/>
    </row>
    <row r="38">
      <c r="A38" s="84"/>
      <c r="L38" s="13"/>
      <c r="N38" s="12"/>
      <c r="O38" s="11" t="s">
        <v>60</v>
      </c>
      <c r="P38" s="52">
        <f>(AT3+AV3*AW18-AY18*AZ18)/1000</f>
        <v>1.594150063</v>
      </c>
      <c r="Q38" s="10">
        <f t="shared" ref="Q38:Q39" si="10">Q18</f>
        <v>64070</v>
      </c>
      <c r="R38" s="50">
        <f>P38*Q38*(P29-P31)</f>
        <v>-510685.9725</v>
      </c>
      <c r="U38" s="48" t="s">
        <v>60</v>
      </c>
      <c r="V38" s="52">
        <f>(AT18+AV18*AW18-AY18*AZ18)/1000</f>
        <v>1.594150063</v>
      </c>
      <c r="W38" s="51">
        <f t="shared" ref="W38:W42" si="11">W18</f>
        <v>0</v>
      </c>
      <c r="X38" s="10">
        <f>V38*W38*(P30-P31)</f>
        <v>0</v>
      </c>
      <c r="Y38" s="13"/>
      <c r="AA38" s="84"/>
      <c r="AL38" s="13"/>
    </row>
    <row r="39">
      <c r="A39" s="85" t="s">
        <v>88</v>
      </c>
      <c r="B39" s="86">
        <v>20.0</v>
      </c>
      <c r="D39" s="87"/>
      <c r="E39" s="87"/>
      <c r="F39" s="87"/>
      <c r="G39" s="87"/>
      <c r="H39" s="87"/>
      <c r="L39" s="13"/>
      <c r="N39" s="12"/>
      <c r="O39" s="11" t="s">
        <v>64</v>
      </c>
      <c r="P39" s="52">
        <f>(AT19-AV19*AW19+AY19*AZ19)/1000</f>
        <v>4.177349088</v>
      </c>
      <c r="Q39" s="10">
        <f t="shared" si="10"/>
        <v>253280</v>
      </c>
      <c r="R39" s="50">
        <f>P39*Q39*(P29-P31)</f>
        <v>-5290194.884</v>
      </c>
      <c r="U39" s="48" t="s">
        <v>64</v>
      </c>
      <c r="V39" s="52">
        <f>(AT19-AV19*AW19+AY19*AZ19)/1000</f>
        <v>4.177349088</v>
      </c>
      <c r="W39" s="51">
        <f t="shared" si="11"/>
        <v>253280</v>
      </c>
      <c r="X39" s="10">
        <f>W39*V39*(P30-P31)</f>
        <v>5290194.884</v>
      </c>
      <c r="Y39" s="13"/>
      <c r="AA39" s="85" t="s">
        <v>88</v>
      </c>
      <c r="AB39" s="86">
        <f>30</f>
        <v>30</v>
      </c>
      <c r="AD39" s="87"/>
      <c r="AE39" s="87"/>
      <c r="AF39" s="87"/>
      <c r="AG39" s="87"/>
      <c r="AH39" s="87"/>
      <c r="AL39" s="13"/>
    </row>
    <row r="40">
      <c r="A40" s="85" t="s">
        <v>89</v>
      </c>
      <c r="B40" s="86">
        <v>20.0</v>
      </c>
      <c r="L40" s="13"/>
      <c r="N40" s="12"/>
      <c r="O40" s="11" t="s">
        <v>98</v>
      </c>
      <c r="P40" s="52">
        <f>(AT3+AV3*AW18-AY18*AZ18)/1000</f>
        <v>1.594150063</v>
      </c>
      <c r="Q40" s="10">
        <f>Q22</f>
        <v>11650</v>
      </c>
      <c r="R40" s="50">
        <f>P40*Q40*(P29-P31)</f>
        <v>-92859.24114</v>
      </c>
      <c r="U40" s="48" t="s">
        <v>66</v>
      </c>
      <c r="V40" s="52">
        <f>AX27</f>
        <v>2.540266562</v>
      </c>
      <c r="W40" s="51">
        <f t="shared" si="11"/>
        <v>32766.89935</v>
      </c>
      <c r="X40" s="50">
        <f>W40*V40*(P30-P31)</f>
        <v>416183.2939</v>
      </c>
      <c r="Y40" s="13"/>
      <c r="AA40" s="85" t="s">
        <v>89</v>
      </c>
      <c r="AB40" s="86">
        <f>20</f>
        <v>20</v>
      </c>
      <c r="AL40" s="13"/>
    </row>
    <row r="41">
      <c r="A41" s="88" t="s">
        <v>90</v>
      </c>
      <c r="B41" s="86">
        <v>0.0</v>
      </c>
      <c r="L41" s="13"/>
      <c r="N41" s="12"/>
      <c r="O41" s="73" t="s">
        <v>79</v>
      </c>
      <c r="P41" s="10"/>
      <c r="Q41" s="10">
        <f t="shared" ref="Q41:R41" si="12">SUM(Q38:Q40)</f>
        <v>329000</v>
      </c>
      <c r="R41" s="50">
        <f t="shared" si="12"/>
        <v>-5893740.098</v>
      </c>
      <c r="U41" s="48" t="s">
        <v>70</v>
      </c>
      <c r="V41" s="52">
        <f>((AT21+AV21*AW21-AY21*AZ21+BB21*BC21)/R21)*1000</f>
        <v>0.8441336713</v>
      </c>
      <c r="W41" s="51">
        <f t="shared" si="11"/>
        <v>31303.10065</v>
      </c>
      <c r="X41" s="50">
        <f>W41*V41*(P30-P31)</f>
        <v>132120.0064</v>
      </c>
      <c r="Y41" s="13"/>
      <c r="AA41" s="88" t="s">
        <v>90</v>
      </c>
      <c r="AB41" s="86">
        <v>0.0</v>
      </c>
      <c r="AL41" s="13"/>
    </row>
    <row r="42">
      <c r="A42" s="84"/>
      <c r="L42" s="13"/>
      <c r="N42" s="12"/>
      <c r="U42" s="11" t="s">
        <v>76</v>
      </c>
      <c r="V42" s="52">
        <f>(AT18+AV18*AW18-AY18*AZ18)/1000</f>
        <v>1.594150063</v>
      </c>
      <c r="W42" s="51">
        <f t="shared" si="11"/>
        <v>11650</v>
      </c>
      <c r="X42" s="50">
        <f>W42*V42*(P30-P31)</f>
        <v>92859.24114</v>
      </c>
      <c r="Y42" s="13"/>
      <c r="AA42" s="84"/>
      <c r="AL42" s="13"/>
    </row>
    <row r="43">
      <c r="A43" s="12"/>
      <c r="L43" s="13"/>
      <c r="N43" s="12"/>
      <c r="U43" s="73" t="s">
        <v>79</v>
      </c>
      <c r="V43" s="10"/>
      <c r="W43" s="51">
        <f t="shared" ref="W43:X43" si="13">SUM(W38:W42)</f>
        <v>329000</v>
      </c>
      <c r="X43" s="50">
        <f t="shared" si="13"/>
        <v>5931357.426</v>
      </c>
      <c r="Y43" s="13"/>
      <c r="AA43" s="12"/>
      <c r="AL43" s="13"/>
    </row>
    <row r="44">
      <c r="A44" s="42" t="s">
        <v>94</v>
      </c>
      <c r="B44" s="11" t="s">
        <v>84</v>
      </c>
      <c r="C44" s="11" t="s">
        <v>95</v>
      </c>
      <c r="D44" s="11" t="s">
        <v>96</v>
      </c>
      <c r="E44" s="11" t="s">
        <v>97</v>
      </c>
      <c r="G44" s="89" t="s">
        <v>99</v>
      </c>
      <c r="H44" s="11" t="s">
        <v>11</v>
      </c>
      <c r="I44" s="89" t="s">
        <v>100</v>
      </c>
      <c r="J44" s="90" t="s">
        <v>101</v>
      </c>
      <c r="K44" s="89" t="s">
        <v>102</v>
      </c>
      <c r="L44" s="13"/>
      <c r="N44" s="12"/>
      <c r="Y44" s="13"/>
      <c r="AA44" s="42" t="s">
        <v>94</v>
      </c>
      <c r="AB44" s="11" t="s">
        <v>84</v>
      </c>
      <c r="AC44" s="11" t="s">
        <v>95</v>
      </c>
      <c r="AD44" s="11" t="s">
        <v>96</v>
      </c>
      <c r="AE44" s="11" t="s">
        <v>97</v>
      </c>
      <c r="AG44" s="89" t="s">
        <v>99</v>
      </c>
      <c r="AH44" s="11" t="s">
        <v>11</v>
      </c>
      <c r="AI44" s="89" t="s">
        <v>100</v>
      </c>
      <c r="AJ44" s="90" t="s">
        <v>101</v>
      </c>
      <c r="AK44" s="89" t="s">
        <v>102</v>
      </c>
      <c r="AL44" s="13"/>
    </row>
    <row r="45">
      <c r="A45" s="42" t="s">
        <v>103</v>
      </c>
      <c r="B45" s="52">
        <f>(AT3+AV3*AW3-AY3*AZ3)/1000</f>
        <v>1.58567404</v>
      </c>
      <c r="C45" s="10">
        <f t="shared" ref="C45:C47" si="14">K20</f>
        <v>64070</v>
      </c>
      <c r="D45" s="10">
        <f>C45*B45*(B39-B41)</f>
        <v>2031882.715</v>
      </c>
      <c r="E45" s="10">
        <f>B45*C45*(B40-B41)</f>
        <v>2031882.715</v>
      </c>
      <c r="G45" s="91">
        <f>E48</f>
        <v>23558187.69</v>
      </c>
      <c r="H45" s="22" t="s">
        <v>11</v>
      </c>
      <c r="I45" s="92">
        <f>D48</f>
        <v>23558187.69</v>
      </c>
      <c r="J45" s="22" t="s">
        <v>101</v>
      </c>
      <c r="K45" s="91">
        <f>G45-I45</f>
        <v>0</v>
      </c>
      <c r="L45" s="13"/>
      <c r="N45" s="12"/>
      <c r="Y45" s="13"/>
      <c r="AA45" s="42" t="s">
        <v>67</v>
      </c>
      <c r="AB45" s="52">
        <f>AX27</f>
        <v>2.540266562</v>
      </c>
      <c r="AC45" s="51">
        <f t="shared" ref="AC45:AC47" si="15">AE20</f>
        <v>32766.89935</v>
      </c>
      <c r="AD45" s="10">
        <f>AB45*AC45*(AB39-AB41)</f>
        <v>2497099.764</v>
      </c>
      <c r="AE45" s="10">
        <f>AB45*AC45*(AB40-AB41)</f>
        <v>1664733.176</v>
      </c>
      <c r="AG45" s="91">
        <f>AE48</f>
        <v>23196949.68</v>
      </c>
      <c r="AH45" s="22" t="s">
        <v>11</v>
      </c>
      <c r="AI45" s="92">
        <f>AD48</f>
        <v>34795424.52</v>
      </c>
      <c r="AJ45" s="22" t="s">
        <v>101</v>
      </c>
      <c r="AK45" s="91">
        <f>AG45-AI45</f>
        <v>-11598474.84</v>
      </c>
      <c r="AL45" s="13"/>
    </row>
    <row r="46">
      <c r="A46" s="42" t="s">
        <v>104</v>
      </c>
      <c r="B46" s="52">
        <f>(AT4-AV4*AW4+AY4*AZ4)/1000</f>
        <v>4.17657196</v>
      </c>
      <c r="C46" s="10">
        <f t="shared" si="14"/>
        <v>253280</v>
      </c>
      <c r="D46" s="10">
        <f>B46*C46*(B39-B41)</f>
        <v>21156842.92</v>
      </c>
      <c r="E46" s="10">
        <f>B46*C46*(B40-B41)</f>
        <v>21156842.92</v>
      </c>
      <c r="L46" s="13"/>
      <c r="N46" s="12"/>
      <c r="Q46" s="89" t="s">
        <v>99</v>
      </c>
      <c r="R46" s="11" t="s">
        <v>11</v>
      </c>
      <c r="S46" s="89" t="s">
        <v>100</v>
      </c>
      <c r="T46" s="90" t="s">
        <v>101</v>
      </c>
      <c r="U46" s="89" t="s">
        <v>102</v>
      </c>
      <c r="Y46" s="13"/>
      <c r="AA46" s="42" t="s">
        <v>71</v>
      </c>
      <c r="AB46" s="52">
        <f>(AT11-AV11*AW11+AY11*AZ11)/1000</f>
        <v>4.177349088</v>
      </c>
      <c r="AC46" s="51">
        <f t="shared" si="15"/>
        <v>253280</v>
      </c>
      <c r="AD46" s="10">
        <f>AB46*AC46*(AB39-AB41)</f>
        <v>31741169.31</v>
      </c>
      <c r="AE46" s="10">
        <f>AC46*AB46*(AB40-AB41)</f>
        <v>21160779.54</v>
      </c>
      <c r="AL46" s="93"/>
    </row>
    <row r="47">
      <c r="A47" s="42" t="s">
        <v>98</v>
      </c>
      <c r="B47" s="52">
        <f>(AT3+AV3*AW3-AY3*AZ3)/1000</f>
        <v>1.58567404</v>
      </c>
      <c r="C47" s="10">
        <f t="shared" si="14"/>
        <v>11650</v>
      </c>
      <c r="D47" s="10">
        <f>C47*B47*(B39-B41)</f>
        <v>369462.0513</v>
      </c>
      <c r="E47" s="10">
        <f>B47*C47*(B40-B41)</f>
        <v>369462.0513</v>
      </c>
      <c r="L47" s="13"/>
      <c r="N47" s="12"/>
      <c r="Q47" s="94">
        <f>X43</f>
        <v>5931357.426</v>
      </c>
      <c r="R47" s="22" t="s">
        <v>11</v>
      </c>
      <c r="S47" s="95">
        <f>R41</f>
        <v>-5893740.098</v>
      </c>
      <c r="T47" s="22" t="s">
        <v>101</v>
      </c>
      <c r="U47" s="94">
        <f>Q47-S47</f>
        <v>11825097.52</v>
      </c>
      <c r="Y47" s="13"/>
      <c r="Z47" s="96"/>
      <c r="AA47" s="42" t="s">
        <v>77</v>
      </c>
      <c r="AB47" s="52">
        <f>(AT10+AV10*AW10-AY10*AZ10)/1000</f>
        <v>1.594150063</v>
      </c>
      <c r="AC47" s="51">
        <f t="shared" si="15"/>
        <v>11650</v>
      </c>
      <c r="AD47" s="10">
        <f>AB47*AC47*(AB39-AB41)</f>
        <v>557155.4468</v>
      </c>
      <c r="AE47" s="10">
        <f>AB47*AC47*(AB40-AB41)</f>
        <v>371436.9646</v>
      </c>
      <c r="AL47" s="97"/>
    </row>
    <row r="48">
      <c r="A48" s="71" t="s">
        <v>79</v>
      </c>
      <c r="B48" s="47"/>
      <c r="C48" s="47">
        <f t="shared" ref="C48:E48" si="16">SUM(C45:C47)</f>
        <v>329000</v>
      </c>
      <c r="D48" s="47">
        <f t="shared" si="16"/>
        <v>23558187.69</v>
      </c>
      <c r="E48" s="47">
        <f t="shared" si="16"/>
        <v>23558187.69</v>
      </c>
      <c r="F48" s="10"/>
      <c r="G48" s="10"/>
      <c r="H48" s="10"/>
      <c r="I48" s="10"/>
      <c r="J48" s="51"/>
      <c r="K48" s="10"/>
      <c r="L48" s="13"/>
      <c r="N48" s="12"/>
      <c r="Q48" s="98" t="s">
        <v>105</v>
      </c>
      <c r="R48" s="99">
        <f>X43-(R41)-P33+P34</f>
        <v>0</v>
      </c>
      <c r="W48" s="51"/>
      <c r="X48" s="10"/>
      <c r="Y48" s="13"/>
      <c r="AA48" s="71" t="s">
        <v>79</v>
      </c>
      <c r="AB48" s="47"/>
      <c r="AC48" s="53">
        <f t="shared" ref="AC48:AE48" si="17">SUM(AC45:AC47)</f>
        <v>297696.8994</v>
      </c>
      <c r="AD48" s="47">
        <f t="shared" si="17"/>
        <v>34795424.52</v>
      </c>
      <c r="AE48" s="47">
        <f t="shared" si="17"/>
        <v>23196949.68</v>
      </c>
      <c r="AF48" s="10"/>
      <c r="AG48" s="10"/>
      <c r="AH48" s="10"/>
      <c r="AI48" s="10"/>
      <c r="AJ48" s="51"/>
      <c r="AK48" s="10"/>
      <c r="AL48" s="54"/>
    </row>
    <row r="49">
      <c r="A49" s="78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80"/>
      <c r="N49" s="78"/>
      <c r="O49" s="79"/>
      <c r="P49" s="79"/>
      <c r="Q49" s="100"/>
      <c r="R49" s="100"/>
      <c r="S49" s="101"/>
      <c r="T49" s="101"/>
      <c r="U49" s="101"/>
      <c r="V49" s="79"/>
      <c r="W49" s="79"/>
      <c r="X49" s="79"/>
      <c r="Y49" s="80"/>
      <c r="AA49" s="78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80"/>
    </row>
    <row r="53">
      <c r="AL53" s="21"/>
      <c r="AM53" s="21"/>
      <c r="AN53" s="10"/>
      <c r="AO53" s="21"/>
      <c r="AP53" s="10"/>
      <c r="AQ53" s="21"/>
      <c r="AR53" s="10"/>
      <c r="AS53" s="21"/>
      <c r="AT53" s="10"/>
      <c r="AU53" s="60"/>
      <c r="AV53" s="10"/>
    </row>
    <row r="54">
      <c r="AL54" s="77"/>
      <c r="AM54" s="10"/>
      <c r="AN54" s="10"/>
      <c r="AO54" s="10"/>
      <c r="AP54" s="10"/>
      <c r="AQ54" s="10"/>
      <c r="AR54" s="10"/>
      <c r="AS54" s="10"/>
      <c r="AT54" s="10"/>
      <c r="AU54" s="51"/>
      <c r="AV54" s="10"/>
    </row>
  </sheetData>
  <mergeCells count="29">
    <mergeCell ref="D17:E17"/>
    <mergeCell ref="F17:G17"/>
    <mergeCell ref="B18:C18"/>
    <mergeCell ref="D18:E18"/>
    <mergeCell ref="F18:G18"/>
    <mergeCell ref="A38:B38"/>
    <mergeCell ref="A42:B42"/>
    <mergeCell ref="H17:I17"/>
    <mergeCell ref="J17:K17"/>
    <mergeCell ref="H18:I18"/>
    <mergeCell ref="J18:K18"/>
    <mergeCell ref="O35:P35"/>
    <mergeCell ref="O28:P28"/>
    <mergeCell ref="AD17:AE17"/>
    <mergeCell ref="AF17:AG17"/>
    <mergeCell ref="AD18:AE18"/>
    <mergeCell ref="AF18:AG18"/>
    <mergeCell ref="AH18:AI18"/>
    <mergeCell ref="AA42:AB42"/>
    <mergeCell ref="AA38:AB38"/>
    <mergeCell ref="AS2:AZ2"/>
    <mergeCell ref="P13:W13"/>
    <mergeCell ref="AO15:AP15"/>
    <mergeCell ref="A16:K16"/>
    <mergeCell ref="AC16:AI16"/>
    <mergeCell ref="B17:C17"/>
    <mergeCell ref="AS9:AZ9"/>
    <mergeCell ref="AS16:AZ16"/>
    <mergeCell ref="AH17:AI17"/>
  </mergeCells>
  <drawing r:id="rId1"/>
</worksheet>
</file>